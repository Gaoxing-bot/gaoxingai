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757" firstSheet="3"/>
  </bookViews>
  <sheets>
    <sheet name="CES,IFA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HUAWEI</author>
    <author>Administrator</author>
  </authors>
  <commentList>
    <comment ref="D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品牌馆：20家；Ressler Park:25家；
国家馆：1家</t>
        </r>
      </text>
    </comment>
    <comment ref="E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品牌馆：580.9平米；
Ressler Park:321平米；
国家馆：9平米</t>
        </r>
      </text>
    </comment>
    <comment ref="F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品牌馆：317845.79欧元；
Ressler Park:452745.00欧元;
国家馆：￥64190.24元</t>
        </r>
      </text>
    </comment>
    <comment ref="G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品牌馆：人民币186016.40；
Ressler Park:人民币416661.25;
国家馆：6646.24；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品牌馆：16家；Ressler Park:12家；
国家馆：2家
</t>
        </r>
      </text>
    </comment>
    <comment ref="E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品牌馆：16家；
Ressler Park:12家；
国家馆：18平米</t>
        </r>
      </text>
    </comment>
    <comment ref="F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品牌馆：268638.0欧元；
Ressler Park:238700欧元；
国家馆：13224.48欧元</t>
        </r>
      </text>
    </comment>
    <comment ref="G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品牌馆：214636.24；
Ressler Park:213932.83</t>
        </r>
      </text>
    </comment>
    <comment ref="D8" authorId="0">
      <text>
        <r>
          <rPr>
            <b/>
            <sz val="9"/>
            <rFont val="宋体"/>
            <charset val="134"/>
          </rPr>
          <t>HUAWEI:品牌：5家；Ressllar Park:33家</t>
        </r>
      </text>
    </comment>
    <comment ref="D9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品牌馆：4家;
Ressller Park:23家</t>
        </r>
      </text>
    </comment>
  </commentList>
</comments>
</file>

<file path=xl/sharedStrings.xml><?xml version="1.0" encoding="utf-8"?>
<sst xmlns="http://schemas.openxmlformats.org/spreadsheetml/2006/main" count="48" uniqueCount="40">
  <si>
    <r>
      <rPr>
        <b/>
        <sz val="9"/>
        <rFont val="宋体"/>
        <charset val="134"/>
      </rPr>
      <t>序号</t>
    </r>
  </si>
  <si>
    <t>项目名称</t>
  </si>
  <si>
    <r>
      <rPr>
        <b/>
        <sz val="9"/>
        <rFont val="宋体"/>
        <charset val="134"/>
      </rPr>
      <t>项目经理</t>
    </r>
  </si>
  <si>
    <t>参展企业数量数</t>
  </si>
  <si>
    <t>展位面积</t>
  </si>
  <si>
    <t>销售总金额（收取客户的款项）</t>
  </si>
  <si>
    <t>专区毛利</t>
  </si>
  <si>
    <t>展团毛利</t>
  </si>
  <si>
    <t>合计</t>
  </si>
  <si>
    <t>备注</t>
  </si>
  <si>
    <t>2025CES</t>
  </si>
  <si>
    <t>刘汉华</t>
  </si>
  <si>
    <t>专区59家+展团25家=84</t>
  </si>
  <si>
    <t>1962平米</t>
  </si>
  <si>
    <t>$1043800.00+￥1578501.35</t>
  </si>
  <si>
    <t>周娟</t>
  </si>
  <si>
    <t>专区42家+展团15家=57</t>
  </si>
  <si>
    <t>1267.2平米</t>
  </si>
  <si>
    <t>$776683+￥900984.85</t>
  </si>
  <si>
    <t>2025IFA</t>
  </si>
  <si>
    <t>46家</t>
  </si>
  <si>
    <t>910平米</t>
  </si>
  <si>
    <t>30家</t>
  </si>
  <si>
    <t>769.50平米</t>
  </si>
  <si>
    <t>€628400.9+￥124412.40</t>
  </si>
  <si>
    <t>2024CES</t>
  </si>
  <si>
    <t>48家+35家（国家馆）=83</t>
  </si>
  <si>
    <t>2054.52平米</t>
  </si>
  <si>
    <t>15家+23家（国家馆）=38</t>
  </si>
  <si>
    <t>774平米</t>
  </si>
  <si>
    <t>2024IFA</t>
  </si>
  <si>
    <t>38家</t>
  </si>
  <si>
    <t>601.42平米</t>
  </si>
  <si>
    <t>27家</t>
  </si>
  <si>
    <t>322.95平米</t>
  </si>
  <si>
    <t>2026CES</t>
  </si>
  <si>
    <t>专区68家+展团6家=74</t>
  </si>
  <si>
    <t>2169平米</t>
  </si>
  <si>
    <t>专区54家+展团5家=69</t>
  </si>
  <si>
    <t>1771.20平米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</si>
</sst>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;\-&quot;$&quot;#,##0.00"/>
    <numFmt numFmtId="177" formatCode="[$¥-804]#,##0.00;[$¥-804]\-#,##0.00"/>
    <numFmt numFmtId="178" formatCode="[$€-1809]#,##0.00;\-[$€-1809]#,##0.00"/>
  </numFmts>
  <fonts count="27">
    <font>
      <sz val="12"/>
      <name val="宋体"/>
      <charset val="134"/>
    </font>
    <font>
      <sz val="9"/>
      <name val="宋体"/>
      <charset val="134"/>
    </font>
    <font>
      <b/>
      <sz val="9"/>
      <name val="Segoe UI"/>
      <family val="2"/>
      <charset val="134"/>
    </font>
    <font>
      <b/>
      <sz val="9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C000"/>
      <color rgb="0092D050"/>
      <color rgb="0000B050"/>
      <color rgb="00F8CBA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G20" sqref="G20"/>
    </sheetView>
  </sheetViews>
  <sheetFormatPr defaultColWidth="9" defaultRowHeight="14.25"/>
  <cols>
    <col min="1" max="1" width="4.125" style="3" customWidth="1"/>
    <col min="2" max="2" width="11.1" style="3" customWidth="1"/>
    <col min="3" max="3" width="14.6" style="3" customWidth="1"/>
    <col min="4" max="4" width="21.9" style="4" customWidth="1"/>
    <col min="5" max="5" width="14.6" style="3" customWidth="1"/>
    <col min="6" max="6" width="22.4" style="5" customWidth="1"/>
    <col min="7" max="7" width="19.9" style="6" customWidth="1"/>
    <col min="8" max="8" width="21.6" style="6" customWidth="1"/>
    <col min="9" max="9" width="21.625" style="6" customWidth="1"/>
    <col min="10" max="10" width="30.7" style="3" customWidth="1"/>
  </cols>
  <sheetData>
    <row r="1" ht="33" customHeight="1" spans="1:10">
      <c r="A1" s="7" t="s">
        <v>0</v>
      </c>
      <c r="B1" s="8" t="s">
        <v>1</v>
      </c>
      <c r="C1" s="7" t="s">
        <v>2</v>
      </c>
      <c r="D1" s="9" t="s">
        <v>3</v>
      </c>
      <c r="E1" s="8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36" t="s">
        <v>9</v>
      </c>
    </row>
    <row r="2" s="1" customFormat="1" ht="33" customHeight="1" spans="1:10">
      <c r="A2" s="12">
        <v>1</v>
      </c>
      <c r="B2" s="13" t="s">
        <v>10</v>
      </c>
      <c r="C2" s="14" t="s">
        <v>11</v>
      </c>
      <c r="D2" s="15" t="s">
        <v>12</v>
      </c>
      <c r="E2" s="12" t="s">
        <v>13</v>
      </c>
      <c r="F2" s="16" t="s">
        <v>14</v>
      </c>
      <c r="G2" s="17">
        <v>1006930.46</v>
      </c>
      <c r="H2" s="17">
        <v>327286.77</v>
      </c>
      <c r="I2" s="17">
        <f>G2+H2</f>
        <v>1334217.23</v>
      </c>
      <c r="J2" s="37"/>
    </row>
    <row r="3" s="1" customFormat="1" ht="33" customHeight="1" spans="1:10">
      <c r="A3" s="18"/>
      <c r="B3" s="19"/>
      <c r="C3" s="20" t="s">
        <v>15</v>
      </c>
      <c r="D3" s="21" t="s">
        <v>16</v>
      </c>
      <c r="E3" s="18" t="s">
        <v>17</v>
      </c>
      <c r="F3" s="22" t="s">
        <v>18</v>
      </c>
      <c r="G3" s="23">
        <v>613103.28</v>
      </c>
      <c r="H3" s="23">
        <v>160194.11</v>
      </c>
      <c r="I3" s="23">
        <f>G3+H3</f>
        <v>773297.39</v>
      </c>
      <c r="J3" s="37"/>
    </row>
    <row r="4" s="2" customFormat="1" ht="33" customHeight="1" spans="1:10">
      <c r="A4" s="24">
        <v>3</v>
      </c>
      <c r="B4" s="25" t="s">
        <v>19</v>
      </c>
      <c r="C4" s="20" t="s">
        <v>11</v>
      </c>
      <c r="D4" s="21" t="s">
        <v>20</v>
      </c>
      <c r="E4" s="20" t="s">
        <v>21</v>
      </c>
      <c r="F4" s="26">
        <v>770590.79</v>
      </c>
      <c r="G4" s="23">
        <v>602677.65</v>
      </c>
      <c r="H4" s="27">
        <v>6646.24</v>
      </c>
      <c r="I4" s="27">
        <f>G4+H4</f>
        <v>609323.89</v>
      </c>
      <c r="J4" s="38"/>
    </row>
    <row r="5" s="2" customFormat="1" ht="33" customHeight="1" spans="1:10">
      <c r="A5" s="24"/>
      <c r="B5" s="28"/>
      <c r="C5" s="20" t="s">
        <v>15</v>
      </c>
      <c r="D5" s="21" t="s">
        <v>22</v>
      </c>
      <c r="E5" s="20" t="s">
        <v>23</v>
      </c>
      <c r="F5" s="29" t="s">
        <v>24</v>
      </c>
      <c r="G5" s="27">
        <v>428569.07</v>
      </c>
      <c r="H5" s="27">
        <v>13324.4</v>
      </c>
      <c r="I5" s="27">
        <f>G5+H5</f>
        <v>441893.47</v>
      </c>
      <c r="J5" s="38"/>
    </row>
    <row r="6" s="2" customFormat="1" ht="33" customHeight="1" spans="1:10">
      <c r="A6" s="24"/>
      <c r="B6" s="30" t="s">
        <v>25</v>
      </c>
      <c r="C6" s="20" t="s">
        <v>11</v>
      </c>
      <c r="D6" s="21" t="s">
        <v>26</v>
      </c>
      <c r="E6" s="20" t="s">
        <v>27</v>
      </c>
      <c r="F6" s="29">
        <f>1225364+10684.93</f>
        <v>1236048.93</v>
      </c>
      <c r="G6" s="27">
        <v>470377.79</v>
      </c>
      <c r="H6" s="27">
        <v>298924</v>
      </c>
      <c r="I6" s="27">
        <f>G6+H6</f>
        <v>769301.79</v>
      </c>
      <c r="J6" s="38"/>
    </row>
    <row r="7" s="2" customFormat="1" ht="33" customHeight="1" spans="1:10">
      <c r="A7" s="24"/>
      <c r="B7" s="31"/>
      <c r="C7" s="20" t="s">
        <v>15</v>
      </c>
      <c r="D7" s="21" t="s">
        <v>28</v>
      </c>
      <c r="E7" s="20" t="s">
        <v>29</v>
      </c>
      <c r="F7" s="29">
        <v>479137.07</v>
      </c>
      <c r="G7" s="27">
        <v>148925.71</v>
      </c>
      <c r="H7" s="27">
        <v>218924.11</v>
      </c>
      <c r="I7" s="27">
        <f>G7+H7</f>
        <v>367849.82</v>
      </c>
      <c r="J7" s="38"/>
    </row>
    <row r="8" s="2" customFormat="1" ht="33" customHeight="1" spans="1:10">
      <c r="A8" s="24"/>
      <c r="B8" s="32" t="s">
        <v>30</v>
      </c>
      <c r="C8" s="20" t="s">
        <v>11</v>
      </c>
      <c r="D8" s="21" t="s">
        <v>31</v>
      </c>
      <c r="E8" s="20" t="s">
        <v>32</v>
      </c>
      <c r="F8" s="26">
        <v>622215.38</v>
      </c>
      <c r="G8" s="27">
        <v>620054.73</v>
      </c>
      <c r="H8" s="27">
        <v>0</v>
      </c>
      <c r="I8" s="27">
        <f>G8+H8</f>
        <v>620054.73</v>
      </c>
      <c r="J8" s="38"/>
    </row>
    <row r="9" s="2" customFormat="1" ht="33" customHeight="1" spans="1:10">
      <c r="A9" s="24"/>
      <c r="B9" s="32"/>
      <c r="C9" s="20" t="s">
        <v>15</v>
      </c>
      <c r="D9" s="21" t="s">
        <v>33</v>
      </c>
      <c r="E9" s="20" t="s">
        <v>34</v>
      </c>
      <c r="F9" s="26">
        <v>399240.35</v>
      </c>
      <c r="G9" s="27">
        <v>402381.98</v>
      </c>
      <c r="H9" s="27">
        <v>0</v>
      </c>
      <c r="I9" s="27">
        <f>G9+H9</f>
        <v>402381.98</v>
      </c>
      <c r="J9" s="38"/>
    </row>
    <row r="10" ht="33" customHeight="1" spans="1:10">
      <c r="A10" s="33"/>
      <c r="B10" s="34" t="s">
        <v>35</v>
      </c>
      <c r="C10" s="20" t="s">
        <v>11</v>
      </c>
      <c r="D10" s="21" t="s">
        <v>36</v>
      </c>
      <c r="E10" s="20" t="s">
        <v>37</v>
      </c>
      <c r="F10" s="29">
        <v>1318588.81</v>
      </c>
      <c r="G10" s="27">
        <v>1143951.76</v>
      </c>
      <c r="H10" s="27">
        <v>62830.14</v>
      </c>
      <c r="I10" s="27">
        <f>G10+H10</f>
        <v>1206781.9</v>
      </c>
      <c r="J10" s="39"/>
    </row>
    <row r="11" ht="33" customHeight="1" spans="1:10">
      <c r="A11" s="33"/>
      <c r="B11" s="35"/>
      <c r="C11" s="20" t="s">
        <v>15</v>
      </c>
      <c r="D11" s="21" t="s">
        <v>38</v>
      </c>
      <c r="E11" s="20" t="s">
        <v>39</v>
      </c>
      <c r="F11" s="29">
        <v>1090949.06</v>
      </c>
      <c r="G11" s="27">
        <v>704739.97</v>
      </c>
      <c r="H11" s="27">
        <v>70079.15</v>
      </c>
      <c r="I11" s="27">
        <f>G11+H11</f>
        <v>774819.12</v>
      </c>
      <c r="J11" s="39"/>
    </row>
  </sheetData>
  <mergeCells count="5">
    <mergeCell ref="B2:B3"/>
    <mergeCell ref="B4:B5"/>
    <mergeCell ref="B6:B7"/>
    <mergeCell ref="B8:B9"/>
    <mergeCell ref="B10:B11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CES,IFA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</dc:creator>
  <cp:lastModifiedBy>WPS_1758867421</cp:lastModifiedBy>
  <dcterms:created xsi:type="dcterms:W3CDTF">2019-09-20T01:10:02Z</dcterms:created>
  <dcterms:modified xsi:type="dcterms:W3CDTF">2026-05-06T07:18:00Z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B88F1F06C4F342C58D956F2CE801B588_13</vt:lpwstr>
  </property>
  <property fmtid="{D5CDD505-2E9C-101B-9397-08002B2CF9AE}" pid="4" name="CalculationRule">
    <vt:r8>0</vt:r8>
  </property>
</Properties>
</file>